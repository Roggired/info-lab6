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ocuments\Home works\Informatics\лабы\"/>
    </mc:Choice>
  </mc:AlternateContent>
  <xr:revisionPtr revIDLastSave="0" documentId="13_ncr:1_{6BF29969-706E-4943-8F62-2AB66EFD17D2}" xr6:coauthVersionLast="45" xr6:coauthVersionMax="45" xr10:uidLastSave="{00000000-0000-0000-0000-000000000000}"/>
  <bookViews>
    <workbookView xWindow="-108" yWindow="-108" windowWidth="23256" windowHeight="13176" firstSheet="3" activeTab="11" xr2:uid="{00000000-000D-0000-FFFF-FFFF00000000}"/>
  </bookViews>
  <sheets>
    <sheet name="Sheet1" sheetId="1" r:id="rId1"/>
    <sheet name="Справочник" sheetId="2" r:id="rId2"/>
    <sheet name="Расчет стоимости товара" sheetId="3" r:id="rId3"/>
    <sheet name="Диаграмма" sheetId="4" r:id="rId4"/>
    <sheet name="Фильры" sheetId="5" r:id="rId5"/>
    <sheet name="ВПР1" sheetId="6" r:id="rId6"/>
    <sheet name="ВПР2" sheetId="7" r:id="rId7"/>
    <sheet name="Тур1" sheetId="8" r:id="rId8"/>
    <sheet name="Тур2" sheetId="9" r:id="rId9"/>
    <sheet name="Тур3" sheetId="10" r:id="rId10"/>
    <sheet name="Тур4" sheetId="11" r:id="rId11"/>
    <sheet name="Тур4 (2)" sheetId="12" r:id="rId12"/>
  </sheets>
  <definedNames>
    <definedName name="_xlnm._FilterDatabase" localSheetId="6" hidden="1">ВПР2!$A$1:$B$13</definedName>
    <definedName name="_xlnm._FilterDatabase" localSheetId="4" hidden="1">Фильры!$A$1:$H$16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6" i="6" l="1"/>
  <c r="C12" i="6"/>
  <c r="C13" i="6"/>
  <c r="C14" i="6"/>
  <c r="C11" i="6"/>
  <c r="C6" i="6"/>
  <c r="C7" i="6"/>
  <c r="C8" i="6"/>
  <c r="C9" i="6"/>
  <c r="C5" i="6"/>
  <c r="C3" i="6"/>
  <c r="I20" i="3"/>
  <c r="C20" i="3"/>
  <c r="A4" i="3"/>
  <c r="I12" i="3"/>
  <c r="I13" i="3"/>
  <c r="I14" i="3"/>
  <c r="I15" i="3"/>
  <c r="I16" i="3"/>
  <c r="I17" i="3"/>
  <c r="I11" i="3"/>
  <c r="H12" i="3"/>
  <c r="H13" i="3"/>
  <c r="H14" i="3"/>
  <c r="H15" i="3"/>
  <c r="H16" i="3"/>
  <c r="H17" i="3"/>
  <c r="H11" i="3"/>
  <c r="G12" i="3"/>
  <c r="G13" i="3"/>
  <c r="G14" i="3"/>
  <c r="G15" i="3"/>
  <c r="G16" i="3"/>
  <c r="G17" i="3"/>
  <c r="G11" i="3"/>
  <c r="E12" i="3"/>
  <c r="F12" i="3" s="1"/>
  <c r="E13" i="3"/>
  <c r="F13" i="3" s="1"/>
  <c r="E14" i="3"/>
  <c r="E15" i="3"/>
  <c r="E16" i="3"/>
  <c r="E17" i="3"/>
  <c r="E11" i="3"/>
  <c r="F11" i="3" s="1"/>
  <c r="F17" i="3"/>
  <c r="F14" i="3"/>
  <c r="F15" i="3"/>
  <c r="F16" i="3"/>
  <c r="B11" i="1"/>
  <c r="D12" i="1"/>
  <c r="D13" i="1"/>
  <c r="D14" i="1"/>
  <c r="D15" i="1"/>
  <c r="D16" i="1"/>
  <c r="D17" i="1"/>
  <c r="D19" i="1"/>
  <c r="D20" i="1"/>
  <c r="D21" i="1"/>
  <c r="D22" i="1"/>
  <c r="D11" i="1"/>
  <c r="C12" i="1"/>
  <c r="C13" i="1"/>
  <c r="C14" i="1"/>
  <c r="C15" i="1"/>
  <c r="C16" i="1"/>
  <c r="C17" i="1"/>
  <c r="C19" i="1"/>
  <c r="C20" i="1"/>
  <c r="C21" i="1"/>
  <c r="C11" i="1"/>
  <c r="B23" i="1"/>
  <c r="D23" i="1" s="1"/>
  <c r="B22" i="1"/>
  <c r="C22" i="1" s="1"/>
  <c r="B12" i="1"/>
  <c r="B13" i="1"/>
  <c r="B14" i="1"/>
  <c r="B15" i="1"/>
  <c r="B16" i="1"/>
  <c r="B17" i="1"/>
  <c r="B18" i="1"/>
  <c r="D18" i="1" s="1"/>
  <c r="B19" i="1"/>
  <c r="B20" i="1"/>
  <c r="B21" i="1"/>
  <c r="D25" i="1" l="1"/>
  <c r="D26" i="1"/>
  <c r="D24" i="1"/>
  <c r="C18" i="1"/>
  <c r="C26" i="1" s="1"/>
  <c r="C23" i="1"/>
  <c r="C24" i="1" s="1"/>
  <c r="C25" i="1"/>
</calcChain>
</file>

<file path=xl/sharedStrings.xml><?xml version="1.0" encoding="utf-8"?>
<sst xmlns="http://schemas.openxmlformats.org/spreadsheetml/2006/main" count="262" uniqueCount="156">
  <si>
    <t>Минимальное значение аргумента:</t>
  </si>
  <si>
    <t>Максимальное значение аргумента:</t>
  </si>
  <si>
    <t>Шаг изменения аргумента:</t>
  </si>
  <si>
    <t>Искомое значение:</t>
  </si>
  <si>
    <t>Расчет выражения на заданном интервале</t>
  </si>
  <si>
    <t>Аргумент Х</t>
  </si>
  <si>
    <t>Значение выражения</t>
  </si>
  <si>
    <t>при А = 100</t>
  </si>
  <si>
    <t>при А = 120</t>
  </si>
  <si>
    <t>№</t>
  </si>
  <si>
    <t>Максимальное значение выражения:</t>
  </si>
  <si>
    <t>Минимальное значение выражения:</t>
  </si>
  <si>
    <t>Количество искомых значений:</t>
  </si>
  <si>
    <t>Лист 1:</t>
  </si>
  <si>
    <t>"Справочник"</t>
  </si>
  <si>
    <t>Данные предприятия</t>
  </si>
  <si>
    <t>Параметр</t>
  </si>
  <si>
    <t>Значение</t>
  </si>
  <si>
    <t>Название</t>
  </si>
  <si>
    <t>Директор</t>
  </si>
  <si>
    <t>Гл. бухгалтер</t>
  </si>
  <si>
    <t>Торговая наценка</t>
  </si>
  <si>
    <t>Налог НДС</t>
  </si>
  <si>
    <t>Налог НП</t>
  </si>
  <si>
    <t>Кур доллара(руб)</t>
  </si>
  <si>
    <t>ТФ ООО "Новый век"</t>
  </si>
  <si>
    <t>Иванов С.П.</t>
  </si>
  <si>
    <t>Сидорова М.П.</t>
  </si>
  <si>
    <t>Дата актуальности данных:</t>
  </si>
  <si>
    <t>Лист 2:</t>
  </si>
  <si>
    <t>Расчет стоимости товара</t>
  </si>
  <si>
    <t>Калькуляция (расчет) стоимости товара</t>
  </si>
  <si>
    <t>№ п/п</t>
  </si>
  <si>
    <t>Наименование товара</t>
  </si>
  <si>
    <t>Стоимость без налогов</t>
  </si>
  <si>
    <t>в у.е.</t>
  </si>
  <si>
    <t>в руб.</t>
  </si>
  <si>
    <t>торговая наценка</t>
  </si>
  <si>
    <t>Итого</t>
  </si>
  <si>
    <t>Размер налогов</t>
  </si>
  <si>
    <t>НДС</t>
  </si>
  <si>
    <t>НП</t>
  </si>
  <si>
    <t>Окончательная стоимость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</si>
  <si>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</si>
  <si>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</si>
  <si>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</si>
  <si>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</si>
  <si>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</si>
  <si>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</si>
  <si>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</si>
  <si>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</si>
  <si>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</si>
  <si>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Ваза "Бригантина"</t>
  </si>
  <si>
    <t>Кашпо "Бриз"</t>
  </si>
  <si>
    <t>Подставка для цветов 100см</t>
  </si>
  <si>
    <t>Набор керамических горшков для кактусов</t>
  </si>
  <si>
    <t>Кашпо "Кубики"</t>
  </si>
  <si>
    <t>Лиана искусственная 4м</t>
  </si>
  <si>
    <t>Водопад декоративный 3м</t>
  </si>
  <si>
    <t>Директор: _________</t>
  </si>
  <si>
    <t>Гл. бухгалтер: __________</t>
  </si>
  <si>
    <t>Лист 3:</t>
  </si>
  <si>
    <t>Номер</t>
  </si>
  <si>
    <t>Часть света</t>
  </si>
  <si>
    <t>Страна</t>
  </si>
  <si>
    <t>Диапазон высоты</t>
  </si>
  <si>
    <t>Высота</t>
  </si>
  <si>
    <t>Первый восходитель</t>
  </si>
  <si>
    <t>Год первого восхождения</t>
  </si>
  <si>
    <t>Азия</t>
  </si>
  <si>
    <t>Россия</t>
  </si>
  <si>
    <t>Эльбрус</t>
  </si>
  <si>
    <t>5001-6000</t>
  </si>
  <si>
    <t>Европа</t>
  </si>
  <si>
    <t>К.Хаширов</t>
  </si>
  <si>
    <t>Дыхтау</t>
  </si>
  <si>
    <t>Альберт Маммери</t>
  </si>
  <si>
    <t>Шхара</t>
  </si>
  <si>
    <t>У.Альмер</t>
  </si>
  <si>
    <t>Китай</t>
  </si>
  <si>
    <t>Джомолунгма</t>
  </si>
  <si>
    <t>8001-9000</t>
  </si>
  <si>
    <t>Тенцинг Норгей</t>
  </si>
  <si>
    <t>Чогори</t>
  </si>
  <si>
    <t>Лино Лачеделли</t>
  </si>
  <si>
    <t>Лхоцхе</t>
  </si>
  <si>
    <t>Э.Райсс</t>
  </si>
  <si>
    <t>Африка</t>
  </si>
  <si>
    <t>Танзания</t>
  </si>
  <si>
    <t>Килиманджаро</t>
  </si>
  <si>
    <t>Ганс Мейер</t>
  </si>
  <si>
    <t>Кения</t>
  </si>
  <si>
    <t>Хэлфорд Маккиндер</t>
  </si>
  <si>
    <t>Уганда</t>
  </si>
  <si>
    <t>Гора Стэнли</t>
  </si>
  <si>
    <t>Неизвестный</t>
  </si>
  <si>
    <t>Северная Америка</t>
  </si>
  <si>
    <t>США</t>
  </si>
  <si>
    <t>Денали</t>
  </si>
  <si>
    <t>6001-7000</t>
  </si>
  <si>
    <t>Хадсон Стак</t>
  </si>
  <si>
    <t>Гора Святого Ильи</t>
  </si>
  <si>
    <t>Форакер</t>
  </si>
  <si>
    <t>Т.Браун</t>
  </si>
  <si>
    <t>Южная Америка</t>
  </si>
  <si>
    <t>Аргентина</t>
  </si>
  <si>
    <t>Аконкагуа</t>
  </si>
  <si>
    <t>Маттиас Цурбригген</t>
  </si>
  <si>
    <t>Охос-дель-Саладо</t>
  </si>
  <si>
    <t>Юстин Войжнис</t>
  </si>
  <si>
    <t>Монте-Писсис</t>
  </si>
  <si>
    <t>Стефан Осецкий</t>
  </si>
  <si>
    <t>Таблица 1</t>
  </si>
  <si>
    <t>Наименование продукта</t>
  </si>
  <si>
    <t>Количество, кг</t>
  </si>
  <si>
    <t>Итоговая цена</t>
  </si>
  <si>
    <t>Бананы</t>
  </si>
  <si>
    <t>Свинина(вырезка)</t>
  </si>
  <si>
    <t>Говяжий язык</t>
  </si>
  <si>
    <t>Картофель</t>
  </si>
  <si>
    <t>Лук</t>
  </si>
  <si>
    <t>Помидоры</t>
  </si>
  <si>
    <t>Огурцы</t>
  </si>
  <si>
    <t>Свинина(ребра)</t>
  </si>
  <si>
    <t>Капуста</t>
  </si>
  <si>
    <t>Баранина</t>
  </si>
  <si>
    <t>Форель</t>
  </si>
  <si>
    <t>Дорадо</t>
  </si>
  <si>
    <t>Укроп</t>
  </si>
  <si>
    <t>Петрушка</t>
  </si>
  <si>
    <t>ИТОГО:</t>
  </si>
  <si>
    <t>Наименование продукта на рынке</t>
  </si>
  <si>
    <t>Цена, руб/кг</t>
  </si>
  <si>
    <t>Редис</t>
  </si>
  <si>
    <t>Нет на рынке</t>
  </si>
  <si>
    <t xml:space="preserve"> </t>
  </si>
  <si>
    <t>ЛИСТ 1</t>
  </si>
  <si>
    <t>Дата начала турнира</t>
  </si>
  <si>
    <t>Номер тура</t>
  </si>
  <si>
    <t>Дата</t>
  </si>
  <si>
    <t>Время</t>
  </si>
  <si>
    <t>Участник А</t>
  </si>
  <si>
    <t>Участник В</t>
  </si>
  <si>
    <t>Счёт</t>
  </si>
  <si>
    <t>Команда 1</t>
  </si>
  <si>
    <t>Команда 5</t>
  </si>
  <si>
    <t>Команда 2</t>
  </si>
  <si>
    <t>Команда 6</t>
  </si>
  <si>
    <t>Команда 3</t>
  </si>
  <si>
    <t>Команда 7</t>
  </si>
  <si>
    <t>Команда 4</t>
  </si>
  <si>
    <t>Команда 8</t>
  </si>
  <si>
    <t>ЛИСТ 2</t>
  </si>
  <si>
    <t>ЛИСТ 3</t>
  </si>
  <si>
    <t>ЛИСТ 4</t>
  </si>
  <si>
    <t>ЛИСТ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</si>
</sst>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6" formatCode="0.00_ ;[Red]\-0.00\ "/>
    <numFmt numFmtId="168" formatCode="0_ ;[Red]\-0\ "/>
    <numFmt numFmtId="170" formatCode="0.0"/>
    <numFmt numFmtId="171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1"/>
      <color rgb="FF0070C0"/>
      <name val="Calibri"/>
      <family val="2"/>
      <charset val="204"/>
      <scheme val="minor"/>
    </font>
    <font>
      <b/>
      <i/>
      <sz val="11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gray0625"/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3" fillId="0" borderId="2" xfId="0" applyFont="1" applyBorder="1" applyAlignment="1">
      <alignment horizontal="right" wrapText="1"/>
    </xf>
    <xf numFmtId="0" fontId="3" fillId="0" borderId="3" xfId="0" applyFont="1" applyBorder="1" applyAlignment="1">
      <alignment horizontal="right" wrapText="1"/>
    </xf>
    <xf numFmtId="0" fontId="3" fillId="0" borderId="4" xfId="0" applyFont="1" applyBorder="1" applyAlignment="1">
      <alignment horizontal="right" wrapText="1"/>
    </xf>
    <xf numFmtId="2" fontId="0" fillId="0" borderId="4" xfId="0" applyNumberFormat="1" applyBorder="1" applyAlignment="1">
      <alignment horizontal="right"/>
    </xf>
    <xf numFmtId="0" fontId="1" fillId="0" borderId="2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3" xfId="0" applyFill="1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 applyAlignment="1">
      <alignment wrapText="1"/>
    </xf>
    <xf numFmtId="166" fontId="0" fillId="0" borderId="5" xfId="0" applyNumberFormat="1" applyBorder="1" applyAlignment="1">
      <alignment wrapText="1"/>
    </xf>
    <xf numFmtId="166" fontId="0" fillId="0" borderId="9" xfId="0" applyNumberFormat="1" applyBorder="1" applyAlignment="1">
      <alignment wrapText="1"/>
    </xf>
    <xf numFmtId="168" fontId="0" fillId="0" borderId="5" xfId="0" applyNumberFormat="1" applyBorder="1" applyAlignment="1">
      <alignment wrapText="1"/>
    </xf>
    <xf numFmtId="168" fontId="0" fillId="0" borderId="9" xfId="0" applyNumberFormat="1" applyBorder="1" applyAlignment="1">
      <alignment wrapText="1"/>
    </xf>
    <xf numFmtId="168" fontId="0" fillId="0" borderId="9" xfId="0" applyNumberFormat="1" applyFill="1" applyBorder="1" applyAlignment="1">
      <alignment wrapText="1"/>
    </xf>
    <xf numFmtId="168" fontId="0" fillId="0" borderId="8" xfId="0" applyNumberFormat="1" applyFill="1" applyBorder="1" applyAlignment="1">
      <alignment wrapText="1"/>
    </xf>
    <xf numFmtId="166" fontId="0" fillId="0" borderId="2" xfId="0" applyNumberFormat="1" applyBorder="1" applyAlignment="1">
      <alignment wrapText="1"/>
    </xf>
    <xf numFmtId="166" fontId="0" fillId="0" borderId="3" xfId="0" applyNumberFormat="1" applyBorder="1" applyAlignment="1">
      <alignment wrapText="1"/>
    </xf>
    <xf numFmtId="166" fontId="0" fillId="0" borderId="8" xfId="0" applyNumberFormat="1" applyBorder="1" applyAlignment="1">
      <alignment wrapText="1"/>
    </xf>
    <xf numFmtId="166" fontId="0" fillId="0" borderId="4" xfId="0" applyNumberFormat="1" applyBorder="1" applyAlignment="1">
      <alignment wrapText="1"/>
    </xf>
    <xf numFmtId="166" fontId="0" fillId="0" borderId="3" xfId="0" applyNumberFormat="1" applyBorder="1" applyAlignment="1">
      <alignment vertical="center" wrapText="1"/>
    </xf>
    <xf numFmtId="168" fontId="0" fillId="0" borderId="4" xfId="0" applyNumberFormat="1" applyBorder="1" applyAlignment="1">
      <alignment vertical="center" wrapText="1"/>
    </xf>
    <xf numFmtId="1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9" fontId="2" fillId="0" borderId="14" xfId="0" applyNumberFormat="1" applyFont="1" applyBorder="1"/>
    <xf numFmtId="0" fontId="2" fillId="0" borderId="15" xfId="0" applyFont="1" applyBorder="1"/>
    <xf numFmtId="2" fontId="2" fillId="0" borderId="16" xfId="0" applyNumberFormat="1" applyFont="1" applyBorder="1"/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2" fontId="2" fillId="2" borderId="10" xfId="0" applyNumberFormat="1" applyFont="1" applyFill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0" fillId="0" borderId="14" xfId="0" applyBorder="1" applyAlignment="1">
      <alignment horizontal="left" vertical="center"/>
    </xf>
    <xf numFmtId="0" fontId="0" fillId="0" borderId="14" xfId="0" applyBorder="1" applyAlignment="1">
      <alignment horizontal="left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2" fillId="0" borderId="11" xfId="0" applyFont="1" applyBorder="1" applyAlignment="1">
      <alignment horizontal="right" vertical="center"/>
    </xf>
    <xf numFmtId="0" fontId="0" fillId="0" borderId="12" xfId="0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0" fillId="0" borderId="16" xfId="0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2" fillId="0" borderId="11" xfId="0" applyNumberFormat="1" applyFont="1" applyBorder="1" applyAlignment="1">
      <alignment horizontal="right" vertical="center"/>
    </xf>
    <xf numFmtId="2" fontId="2" fillId="2" borderId="20" xfId="0" applyNumberFormat="1" applyFont="1" applyFill="1" applyBorder="1" applyAlignment="1">
      <alignment horizontal="right" vertical="center"/>
    </xf>
    <xf numFmtId="2" fontId="2" fillId="2" borderId="12" xfId="0" applyNumberFormat="1" applyFont="1" applyFill="1" applyBorder="1" applyAlignment="1">
      <alignment horizontal="right" vertical="center"/>
    </xf>
    <xf numFmtId="2" fontId="2" fillId="0" borderId="13" xfId="0" applyNumberFormat="1" applyFont="1" applyBorder="1" applyAlignment="1">
      <alignment horizontal="right" vertical="center"/>
    </xf>
    <xf numFmtId="2" fontId="2" fillId="2" borderId="14" xfId="0" applyNumberFormat="1" applyFont="1" applyFill="1" applyBorder="1" applyAlignment="1">
      <alignment horizontal="right" vertical="center"/>
    </xf>
    <xf numFmtId="2" fontId="2" fillId="0" borderId="15" xfId="0" applyNumberFormat="1" applyFont="1" applyBorder="1" applyAlignment="1">
      <alignment horizontal="right" vertical="center"/>
    </xf>
    <xf numFmtId="2" fontId="2" fillId="2" borderId="21" xfId="0" applyNumberFormat="1" applyFont="1" applyFill="1" applyBorder="1" applyAlignment="1">
      <alignment horizontal="right" vertical="center"/>
    </xf>
    <xf numFmtId="2" fontId="2" fillId="2" borderId="16" xfId="0" applyNumberFormat="1" applyFont="1" applyFill="1" applyBorder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2" fontId="2" fillId="2" borderId="11" xfId="0" applyNumberFormat="1" applyFont="1" applyFill="1" applyBorder="1" applyAlignment="1">
      <alignment horizontal="right" vertical="center"/>
    </xf>
    <xf numFmtId="2" fontId="2" fillId="2" borderId="13" xfId="0" applyNumberFormat="1" applyFont="1" applyFill="1" applyBorder="1" applyAlignment="1">
      <alignment horizontal="right" vertical="center"/>
    </xf>
    <xf numFmtId="2" fontId="2" fillId="2" borderId="15" xfId="0" applyNumberFormat="1" applyFont="1" applyFill="1" applyBorder="1" applyAlignment="1">
      <alignment horizontal="right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2" fontId="2" fillId="2" borderId="23" xfId="0" applyNumberFormat="1" applyFont="1" applyFill="1" applyBorder="1" applyAlignment="1">
      <alignment horizontal="right" vertical="center"/>
    </xf>
    <xf numFmtId="2" fontId="2" fillId="2" borderId="25" xfId="0" applyNumberFormat="1" applyFont="1" applyFill="1" applyBorder="1" applyAlignment="1">
      <alignment horizontal="right" vertical="center"/>
    </xf>
    <xf numFmtId="2" fontId="2" fillId="2" borderId="24" xfId="0" applyNumberFormat="1" applyFont="1" applyFill="1" applyBorder="1" applyAlignment="1">
      <alignment horizontal="right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0" fillId="0" borderId="10" xfId="0" applyBorder="1"/>
    <xf numFmtId="170" fontId="0" fillId="0" borderId="10" xfId="0" applyNumberFormat="1" applyBorder="1"/>
    <xf numFmtId="0" fontId="0" fillId="0" borderId="10" xfId="0" applyBorder="1" applyAlignment="1">
      <alignment horizontal="right"/>
    </xf>
    <xf numFmtId="0" fontId="0" fillId="2" borderId="10" xfId="0" applyFill="1" applyBorder="1"/>
    <xf numFmtId="0" fontId="0" fillId="0" borderId="10" xfId="0" applyFill="1" applyBorder="1"/>
    <xf numFmtId="0" fontId="1" fillId="0" borderId="10" xfId="0" applyFont="1" applyBorder="1"/>
    <xf numFmtId="170" fontId="0" fillId="2" borderId="10" xfId="0" applyNumberFormat="1" applyFill="1" applyBorder="1"/>
    <xf numFmtId="170" fontId="7" fillId="2" borderId="10" xfId="0" applyNumberFormat="1" applyFont="1" applyFill="1" applyBorder="1" applyAlignment="1">
      <alignment horizontal="right"/>
    </xf>
    <xf numFmtId="0" fontId="0" fillId="0" borderId="17" xfId="0" applyBorder="1" applyAlignment="1">
      <alignment horizontal="left"/>
    </xf>
    <xf numFmtId="0" fontId="0" fillId="0" borderId="17" xfId="0" applyBorder="1"/>
    <xf numFmtId="14" fontId="0" fillId="0" borderId="10" xfId="0" applyNumberFormat="1" applyBorder="1"/>
    <xf numFmtId="171" fontId="0" fillId="0" borderId="10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'Расчет стоимости товара'!$B$11</c:f>
              <c:strCache>
                <c:ptCount val="1"/>
                <c:pt idx="0">
                  <c:v>Ваза "Бригантина"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('Расчет стоимости товара'!$D$9:$E$9,'Расчет стоимости товара'!$G$9:$H$9)</c:f>
              <c:strCache>
                <c:ptCount val="4"/>
                <c:pt idx="0">
                  <c:v>в руб.</c:v>
                </c:pt>
                <c:pt idx="1">
                  <c:v>торговая наценка</c:v>
                </c:pt>
                <c:pt idx="2">
                  <c:v>НДС</c:v>
                </c:pt>
                <c:pt idx="3">
                  <c:v>НП</c:v>
                </c:pt>
              </c:strCache>
            </c:strRef>
          </c:cat>
          <c:val>
            <c:numRef>
              <c:f>('Расчет стоимости товара'!$D$11:$E$11,'Расчет стоимости товара'!$G$11:$H$11)</c:f>
              <c:numCache>
                <c:formatCode>0.00</c:formatCode>
                <c:ptCount val="4"/>
                <c:pt idx="0">
                  <c:v>800</c:v>
                </c:pt>
                <c:pt idx="1">
                  <c:v>240</c:v>
                </c:pt>
                <c:pt idx="2">
                  <c:v>160</c:v>
                </c:pt>
                <c:pt idx="3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02-4222-B0FF-9C0804698DC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0</xdr:row>
      <xdr:rowOff>175260</xdr:rowOff>
    </xdr:from>
    <xdr:to>
      <xdr:col>12</xdr:col>
      <xdr:colOff>266700</xdr:colOff>
      <xdr:row>28</xdr:row>
      <xdr:rowOff>7620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DE922B3-D4E4-4067-9DE3-B8AE24631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26"/>
  <sheetViews>
    <sheetView showZeros="0" view="pageLayout" zoomScaleNormal="100" workbookViewId="0">
      <selection activeCell="F25" sqref="F25"/>
    </sheetView>
  </sheetViews>
  <sheetFormatPr defaultRowHeight="14.4" x14ac:dyDescent="0.3"/>
  <cols>
    <col min="1" max="1" width="5" customWidth="1"/>
    <col min="2" max="2" width="17.109375" customWidth="1"/>
    <col min="3" max="3" width="18.44140625" customWidth="1"/>
    <col min="4" max="4" width="16.109375" customWidth="1"/>
  </cols>
  <sheetData>
    <row r="1" spans="1:4" ht="15" thickBot="1" x14ac:dyDescent="0.35"/>
    <row r="2" spans="1:4" x14ac:dyDescent="0.3">
      <c r="B2" s="2" t="s">
        <v>0</v>
      </c>
      <c r="C2" s="2"/>
      <c r="D2" s="6">
        <v>-90</v>
      </c>
    </row>
    <row r="3" spans="1:4" x14ac:dyDescent="0.3">
      <c r="B3" s="2" t="s">
        <v>1</v>
      </c>
      <c r="C3" s="3"/>
      <c r="D3" s="7">
        <v>90</v>
      </c>
    </row>
    <row r="4" spans="1:4" x14ac:dyDescent="0.3">
      <c r="B4" s="2" t="s">
        <v>2</v>
      </c>
      <c r="C4" s="2"/>
      <c r="D4" s="7">
        <v>15</v>
      </c>
    </row>
    <row r="5" spans="1:4" ht="15" thickBot="1" x14ac:dyDescent="0.35">
      <c r="C5" s="4" t="s">
        <v>3</v>
      </c>
      <c r="D5" s="11">
        <v>-0.77</v>
      </c>
    </row>
    <row r="7" spans="1:4" x14ac:dyDescent="0.3">
      <c r="B7" s="5" t="s">
        <v>4</v>
      </c>
      <c r="C7" s="5"/>
      <c r="D7" s="5"/>
    </row>
    <row r="8" spans="1:4" ht="15" thickBot="1" x14ac:dyDescent="0.35"/>
    <row r="9" spans="1:4" ht="15" thickBot="1" x14ac:dyDescent="0.35">
      <c r="A9" s="12" t="s">
        <v>9</v>
      </c>
      <c r="B9" s="12" t="s">
        <v>5</v>
      </c>
      <c r="C9" s="13" t="s">
        <v>6</v>
      </c>
      <c r="D9" s="14"/>
    </row>
    <row r="10" spans="1:4" ht="15" thickBot="1" x14ac:dyDescent="0.35">
      <c r="A10" s="15"/>
      <c r="B10" s="15"/>
      <c r="C10" s="16" t="s">
        <v>7</v>
      </c>
      <c r="D10" s="17" t="s">
        <v>8</v>
      </c>
    </row>
    <row r="11" spans="1:4" x14ac:dyDescent="0.3">
      <c r="A11" s="18">
        <v>0</v>
      </c>
      <c r="B11" s="27">
        <f>$D$2+$D$4*A11</f>
        <v>-90</v>
      </c>
      <c r="C11" s="25">
        <f>ROUND(SIN(100*B11)/COS(100*B11) - SQRT(ABS(B11/100)),2)</f>
        <v>-0.17</v>
      </c>
      <c r="D11" s="31">
        <f>ROUND(SIN(120*B11)/COS(120*B11) - SQRT(ABS(B11/120)),2)</f>
        <v>0.15</v>
      </c>
    </row>
    <row r="12" spans="1:4" x14ac:dyDescent="0.3">
      <c r="A12" s="20">
        <v>1</v>
      </c>
      <c r="B12" s="28">
        <f t="shared" ref="B12:B23" si="0">$D$2+$D$4*A12</f>
        <v>-75</v>
      </c>
      <c r="C12" s="26">
        <f t="shared" ref="C12:C23" si="1">ROUND(SIN(100*B12)/COS(100*B12) - SQRT(ABS(B12/100)),2)</f>
        <v>-2.4900000000000002</v>
      </c>
      <c r="D12" s="32">
        <f t="shared" ref="D12:D23" si="2">ROUND(SIN(120*B12)/COS(120*B12) - SQRT(ABS(B12/120)),2)</f>
        <v>-0.01</v>
      </c>
    </row>
    <row r="13" spans="1:4" x14ac:dyDescent="0.3">
      <c r="A13" s="20">
        <v>2</v>
      </c>
      <c r="B13" s="28">
        <f t="shared" si="0"/>
        <v>-60</v>
      </c>
      <c r="C13" s="26">
        <f t="shared" si="1"/>
        <v>-0.3</v>
      </c>
      <c r="D13" s="32">
        <f t="shared" si="2"/>
        <v>-0.12</v>
      </c>
    </row>
    <row r="14" spans="1:4" x14ac:dyDescent="0.3">
      <c r="A14" s="20">
        <v>3</v>
      </c>
      <c r="B14" s="28">
        <f t="shared" si="0"/>
        <v>-45</v>
      </c>
      <c r="C14" s="26">
        <f t="shared" si="1"/>
        <v>-3.58</v>
      </c>
      <c r="D14" s="32">
        <f t="shared" si="2"/>
        <v>-0.19</v>
      </c>
    </row>
    <row r="15" spans="1:4" x14ac:dyDescent="0.3">
      <c r="A15" s="20">
        <v>4</v>
      </c>
      <c r="B15" s="28">
        <f t="shared" si="0"/>
        <v>-30</v>
      </c>
      <c r="C15" s="26">
        <f t="shared" si="1"/>
        <v>-0.32</v>
      </c>
      <c r="D15" s="32">
        <f t="shared" si="2"/>
        <v>-0.23</v>
      </c>
    </row>
    <row r="16" spans="1:4" x14ac:dyDescent="0.3">
      <c r="A16" s="20">
        <v>5</v>
      </c>
      <c r="B16" s="28">
        <f t="shared" si="0"/>
        <v>-15</v>
      </c>
      <c r="C16" s="26">
        <f t="shared" si="1"/>
        <v>-9.4</v>
      </c>
      <c r="D16" s="32">
        <f t="shared" si="2"/>
        <v>-0.22</v>
      </c>
    </row>
    <row r="17" spans="1:4" x14ac:dyDescent="0.3">
      <c r="A17" s="20">
        <v>6</v>
      </c>
      <c r="B17" s="28">
        <f t="shared" si="0"/>
        <v>0</v>
      </c>
      <c r="C17" s="26">
        <f t="shared" si="1"/>
        <v>0</v>
      </c>
      <c r="D17" s="32">
        <f t="shared" si="2"/>
        <v>0</v>
      </c>
    </row>
    <row r="18" spans="1:4" x14ac:dyDescent="0.3">
      <c r="A18" s="20">
        <v>7</v>
      </c>
      <c r="B18" s="28">
        <f t="shared" si="0"/>
        <v>15</v>
      </c>
      <c r="C18" s="26">
        <f t="shared" si="1"/>
        <v>8.6300000000000008</v>
      </c>
      <c r="D18" s="32">
        <f t="shared" si="2"/>
        <v>-0.49</v>
      </c>
    </row>
    <row r="19" spans="1:4" x14ac:dyDescent="0.3">
      <c r="A19" s="20">
        <v>8</v>
      </c>
      <c r="B19" s="28">
        <f t="shared" si="0"/>
        <v>30</v>
      </c>
      <c r="C19" s="26">
        <f t="shared" si="1"/>
        <v>-0.77</v>
      </c>
      <c r="D19" s="32">
        <f t="shared" si="2"/>
        <v>-0.77</v>
      </c>
    </row>
    <row r="20" spans="1:4" x14ac:dyDescent="0.3">
      <c r="A20" s="20">
        <v>9</v>
      </c>
      <c r="B20" s="28">
        <f t="shared" si="0"/>
        <v>45</v>
      </c>
      <c r="C20" s="26">
        <f t="shared" si="1"/>
        <v>2.23</v>
      </c>
      <c r="D20" s="32">
        <f t="shared" si="2"/>
        <v>-1.03</v>
      </c>
    </row>
    <row r="21" spans="1:4" x14ac:dyDescent="0.3">
      <c r="A21" s="20">
        <v>10</v>
      </c>
      <c r="B21" s="28">
        <f t="shared" si="0"/>
        <v>60</v>
      </c>
      <c r="C21" s="26">
        <f t="shared" si="1"/>
        <v>-1.25</v>
      </c>
      <c r="D21" s="32">
        <f t="shared" si="2"/>
        <v>-1.29</v>
      </c>
    </row>
    <row r="22" spans="1:4" x14ac:dyDescent="0.3">
      <c r="A22" s="22">
        <v>11</v>
      </c>
      <c r="B22" s="29">
        <f t="shared" si="0"/>
        <v>75</v>
      </c>
      <c r="C22" s="26">
        <f t="shared" si="1"/>
        <v>0.76</v>
      </c>
      <c r="D22" s="32">
        <f t="shared" si="2"/>
        <v>-1.57</v>
      </c>
    </row>
    <row r="23" spans="1:4" ht="15" thickBot="1" x14ac:dyDescent="0.35">
      <c r="A23" s="23">
        <v>12</v>
      </c>
      <c r="B23" s="30">
        <f t="shared" si="0"/>
        <v>90</v>
      </c>
      <c r="C23" s="33">
        <f t="shared" si="1"/>
        <v>-1.73</v>
      </c>
      <c r="D23" s="34">
        <f t="shared" si="2"/>
        <v>-1.89</v>
      </c>
    </row>
    <row r="24" spans="1:4" ht="43.2" x14ac:dyDescent="0.3">
      <c r="A24" s="19"/>
      <c r="B24" s="8" t="s">
        <v>10</v>
      </c>
      <c r="C24" s="35">
        <f>MAX(C11:C23)</f>
        <v>8.6300000000000008</v>
      </c>
      <c r="D24" s="35">
        <f>MAX(D11:D23)</f>
        <v>0.15</v>
      </c>
    </row>
    <row r="25" spans="1:4" ht="43.2" x14ac:dyDescent="0.3">
      <c r="A25" s="21"/>
      <c r="B25" s="9" t="s">
        <v>11</v>
      </c>
      <c r="C25" s="35">
        <f>MIN(C11:C23)</f>
        <v>-9.4</v>
      </c>
      <c r="D25" s="35">
        <f>MIN(D11:D23)</f>
        <v>-1.89</v>
      </c>
    </row>
    <row r="26" spans="1:4" ht="43.8" thickBot="1" x14ac:dyDescent="0.35">
      <c r="A26" s="24"/>
      <c r="B26" s="10" t="s">
        <v>12</v>
      </c>
      <c r="C26" s="36">
        <f>COUNTIF(C11:C23,D5)</f>
        <v>1</v>
      </c>
      <c r="D26" s="36">
        <f>COUNTIF(D11:D23,D5)</f>
        <v>1</v>
      </c>
    </row>
  </sheetData>
  <mergeCells count="7">
    <mergeCell ref="A9:A10"/>
    <mergeCell ref="B2:C2"/>
    <mergeCell ref="B3:C3"/>
    <mergeCell ref="B4:C4"/>
    <mergeCell ref="B7:D7"/>
    <mergeCell ref="B9:B10"/>
    <mergeCell ref="C9:D9"/>
  </mergeCells>
  <pageMargins left="0.7" right="0.7" top="0.75" bottom="0.75" header="0.3" footer="0.3"/>
  <pageSetup paperSize="9" orientation="landscape" verticalDpi="0" r:id="rId1"/>
  <headerFooter>
    <oddHeader>&amp;C
Егошин Алексей Васильевич, группа P3113, вариант №7, &amp;F</oddHeader>
    <oddFooter>&amp;L&amp;"-,полужирный" Секретно&amp;C12.11.2019 21:38&amp;RСтраница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5B45-16B4-4B0B-9BD7-4CBBE93BCA85}">
  <sheetPr codeName="Лист2"/>
  <dimension ref="A2:B15"/>
  <sheetViews>
    <sheetView workbookViewId="0">
      <selection activeCell="E8" sqref="E8"/>
    </sheetView>
  </sheetViews>
  <sheetFormatPr defaultRowHeight="14.4" x14ac:dyDescent="0.3"/>
  <cols>
    <col min="1" max="1" width="16.109375" customWidth="1"/>
    <col min="2" max="2" width="22.5546875" customWidth="1"/>
  </cols>
  <sheetData>
    <row r="2" spans="1:2" x14ac:dyDescent="0.3">
      <c r="A2" t="s">
        <v>13</v>
      </c>
      <c r="B2" t="s">
        <v>14</v>
      </c>
    </row>
    <row r="4" spans="1:2" x14ac:dyDescent="0.3">
      <c r="A4" s="1" t="s">
        <v>15</v>
      </c>
      <c r="B4" s="1"/>
    </row>
    <row r="5" spans="1:2" ht="15" thickBot="1" x14ac:dyDescent="0.35"/>
    <row r="6" spans="1:2" ht="15" thickBot="1" x14ac:dyDescent="0.35">
      <c r="A6" s="38" t="s">
        <v>16</v>
      </c>
      <c r="B6" s="39" t="s">
        <v>17</v>
      </c>
    </row>
    <row r="7" spans="1:2" x14ac:dyDescent="0.3">
      <c r="A7" s="40" t="s">
        <v>18</v>
      </c>
      <c r="B7" s="41" t="s">
        <v>25</v>
      </c>
    </row>
    <row r="8" spans="1:2" x14ac:dyDescent="0.3">
      <c r="A8" s="42" t="s">
        <v>19</v>
      </c>
      <c r="B8" s="43" t="s">
        <v>26</v>
      </c>
    </row>
    <row r="9" spans="1:2" x14ac:dyDescent="0.3">
      <c r="A9" s="42" t="s">
        <v>20</v>
      </c>
      <c r="B9" s="43" t="s">
        <v>27</v>
      </c>
    </row>
    <row r="10" spans="1:2" x14ac:dyDescent="0.3">
      <c r="A10" s="42" t="s">
        <v>21</v>
      </c>
      <c r="B10" s="44">
        <v>0.3</v>
      </c>
    </row>
    <row r="11" spans="1:2" x14ac:dyDescent="0.3">
      <c r="A11" s="42" t="s">
        <v>22</v>
      </c>
      <c r="B11" s="44">
        <v>0.2</v>
      </c>
    </row>
    <row r="12" spans="1:2" x14ac:dyDescent="0.3">
      <c r="A12" s="42" t="s">
        <v>23</v>
      </c>
      <c r="B12" s="44">
        <v>0.05</v>
      </c>
    </row>
    <row r="13" spans="1:2" ht="15" thickBot="1" x14ac:dyDescent="0.35">
      <c r="A13" s="45" t="s">
        <v>24</v>
      </c>
      <c r="B13" s="46">
        <v>30</v>
      </c>
    </row>
    <row r="15" spans="1:2" ht="43.2" x14ac:dyDescent="0.3">
      <c r="A15" s="47" t="s">
        <v>28</v>
      </c>
      <c r="B15" s="48">
        <v>37386</v>
      </c>
    </row>
  </sheetData>
  <mergeCells count="1">
    <mergeCell ref="A4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0481B-71D5-4F22-AC24-231D638A645E}">
  <sheetPr codeName="Лист3"/>
  <dimension ref="A2:I20"/>
  <sheetViews>
    <sheetView workbookViewId="0">
      <selection activeCell="G3" sqref="G3"/>
    </sheetView>
  </sheetViews>
  <sheetFormatPr defaultRowHeight="14.4" x14ac:dyDescent="0.3"/>
  <cols>
    <col min="2" max="2" width="26.88671875" customWidth="1"/>
    <col min="5" max="5" width="12.109375" customWidth="1"/>
    <col min="9" max="9" width="17.109375" customWidth="1"/>
  </cols>
  <sheetData>
    <row r="2" spans="1:9" x14ac:dyDescent="0.3">
      <c r="A2" t="s">
        <v>29</v>
      </c>
      <c r="B2" t="s">
        <v>30</v>
      </c>
    </row>
    <row r="4" spans="1:9" x14ac:dyDescent="0.3">
      <c r="A4" s="1" t="str">
        <f>Справочник!B7</f>
        <v>ТФ ООО "Новый век"</v>
      </c>
      <c r="B4" s="1"/>
    </row>
    <row r="6" spans="1:9" ht="15.6" x14ac:dyDescent="0.3">
      <c r="A6" s="94" t="s">
        <v>31</v>
      </c>
      <c r="B6" s="94"/>
      <c r="C6" s="94"/>
      <c r="D6" s="94"/>
      <c r="E6" s="94"/>
      <c r="F6" s="94"/>
      <c r="G6" s="94"/>
      <c r="H6" s="94"/>
      <c r="I6" s="94"/>
    </row>
    <row r="7" spans="1:9" ht="15" thickBot="1" x14ac:dyDescent="0.35"/>
    <row r="8" spans="1:9" x14ac:dyDescent="0.3">
      <c r="A8" s="56" t="s">
        <v>32</v>
      </c>
      <c r="B8" s="57" t="s">
        <v>33</v>
      </c>
      <c r="C8" s="56" t="s">
        <v>34</v>
      </c>
      <c r="D8" s="66"/>
      <c r="E8" s="66"/>
      <c r="F8" s="57"/>
      <c r="G8" s="56" t="s">
        <v>39</v>
      </c>
      <c r="H8" s="57"/>
      <c r="I8" s="85" t="s">
        <v>42</v>
      </c>
    </row>
    <row r="9" spans="1:9" ht="29.4" thickBot="1" x14ac:dyDescent="0.35">
      <c r="A9" s="58"/>
      <c r="B9" s="59"/>
      <c r="C9" s="67" t="s">
        <v>35</v>
      </c>
      <c r="D9" s="68" t="s">
        <v>36</v>
      </c>
      <c r="E9" s="69" t="s">
        <v>37</v>
      </c>
      <c r="F9" s="70" t="s">
        <v>38</v>
      </c>
      <c r="G9" s="80" t="s">
        <v>40</v>
      </c>
      <c r="H9" s="81" t="s">
        <v>41</v>
      </c>
      <c r="I9" s="86"/>
    </row>
    <row r="10" spans="1:9" ht="15" thickBot="1" x14ac:dyDescent="0.35">
      <c r="A10" s="64" t="s">
        <v>43</v>
      </c>
      <c r="B10" s="65" t="s">
        <v>44</v>
      </c>
      <c r="C10" s="64" t="s">
        <v>45</v>
      </c>
      <c r="D10" s="71" t="s">
        <v>46</v>
      </c>
      <c r="E10" s="71" t="s">
        <v>47</v>
      </c>
      <c r="F10" s="65" t="s">
        <v>48</v>
      </c>
      <c r="G10" s="64" t="s">
        <v>49</v>
      </c>
      <c r="H10" s="65" t="s">
        <v>50</v>
      </c>
      <c r="I10" s="87" t="s">
        <v>51</v>
      </c>
    </row>
    <row r="11" spans="1:9" x14ac:dyDescent="0.3">
      <c r="A11" s="60">
        <v>1</v>
      </c>
      <c r="B11" s="61" t="s">
        <v>52</v>
      </c>
      <c r="C11" s="72">
        <v>20</v>
      </c>
      <c r="D11" s="73">
        <v>800</v>
      </c>
      <c r="E11" s="73">
        <f>D11*Справочник!$B$10</f>
        <v>240</v>
      </c>
      <c r="F11" s="74">
        <f>D11+E11</f>
        <v>1040</v>
      </c>
      <c r="G11" s="82">
        <f>D11*Справочник!$B$11</f>
        <v>160</v>
      </c>
      <c r="H11" s="74">
        <f>D11*Справочник!$B$12</f>
        <v>40</v>
      </c>
      <c r="I11" s="88">
        <f>SUM(F11:H11)</f>
        <v>1240</v>
      </c>
    </row>
    <row r="12" spans="1:9" x14ac:dyDescent="0.3">
      <c r="A12" s="53">
        <v>2</v>
      </c>
      <c r="B12" s="54" t="s">
        <v>53</v>
      </c>
      <c r="C12" s="75">
        <v>15</v>
      </c>
      <c r="D12" s="52">
        <v>430</v>
      </c>
      <c r="E12" s="52">
        <f>D12*Справочник!$B$10</f>
        <v>129</v>
      </c>
      <c r="F12" s="76">
        <f t="shared" ref="F12:F17" si="0">D12+E12</f>
        <v>559</v>
      </c>
      <c r="G12" s="83">
        <f>D12*Справочник!$B$11</f>
        <v>86</v>
      </c>
      <c r="H12" s="76">
        <f>D12*Справочник!$B$12</f>
        <v>21.5</v>
      </c>
      <c r="I12" s="89">
        <f t="shared" ref="I12:I17" si="1">SUM(F12:H12)</f>
        <v>666.5</v>
      </c>
    </row>
    <row r="13" spans="1:9" x14ac:dyDescent="0.3">
      <c r="A13" s="53">
        <v>3</v>
      </c>
      <c r="B13" s="54" t="s">
        <v>54</v>
      </c>
      <c r="C13" s="75">
        <v>40</v>
      </c>
      <c r="D13" s="52">
        <v>1200</v>
      </c>
      <c r="E13" s="52">
        <f>D13*Справочник!$B$10</f>
        <v>360</v>
      </c>
      <c r="F13" s="76">
        <f t="shared" si="0"/>
        <v>1560</v>
      </c>
      <c r="G13" s="83">
        <f>D13*Справочник!$B$11</f>
        <v>240</v>
      </c>
      <c r="H13" s="76">
        <f>D13*Справочник!$B$12</f>
        <v>60</v>
      </c>
      <c r="I13" s="89">
        <f t="shared" si="1"/>
        <v>1860</v>
      </c>
    </row>
    <row r="14" spans="1:9" ht="28.8" x14ac:dyDescent="0.3">
      <c r="A14" s="53">
        <v>4</v>
      </c>
      <c r="B14" s="55" t="s">
        <v>55</v>
      </c>
      <c r="C14" s="75">
        <v>33</v>
      </c>
      <c r="D14" s="52">
        <v>990</v>
      </c>
      <c r="E14" s="52">
        <f>D14*Справочник!$B$10</f>
        <v>297</v>
      </c>
      <c r="F14" s="76">
        <f t="shared" si="0"/>
        <v>1287</v>
      </c>
      <c r="G14" s="83">
        <f>D14*Справочник!$B$11</f>
        <v>198</v>
      </c>
      <c r="H14" s="76">
        <f>D14*Справочник!$B$12</f>
        <v>49.5</v>
      </c>
      <c r="I14" s="89">
        <f t="shared" si="1"/>
        <v>1534.5</v>
      </c>
    </row>
    <row r="15" spans="1:9" x14ac:dyDescent="0.3">
      <c r="A15" s="53">
        <v>5</v>
      </c>
      <c r="B15" s="54" t="s">
        <v>56</v>
      </c>
      <c r="C15" s="75">
        <v>18</v>
      </c>
      <c r="D15" s="52">
        <v>540</v>
      </c>
      <c r="E15" s="52">
        <f>D15*Справочник!$B$10</f>
        <v>162</v>
      </c>
      <c r="F15" s="76">
        <f t="shared" si="0"/>
        <v>702</v>
      </c>
      <c r="G15" s="83">
        <f>D15*Справочник!$B$11</f>
        <v>108</v>
      </c>
      <c r="H15" s="76">
        <f>D15*Справочник!$B$12</f>
        <v>27</v>
      </c>
      <c r="I15" s="89">
        <f t="shared" si="1"/>
        <v>837</v>
      </c>
    </row>
    <row r="16" spans="1:9" x14ac:dyDescent="0.3">
      <c r="A16" s="53">
        <v>6</v>
      </c>
      <c r="B16" s="54" t="s">
        <v>57</v>
      </c>
      <c r="C16" s="75">
        <v>25</v>
      </c>
      <c r="D16" s="52">
        <v>750</v>
      </c>
      <c r="E16" s="52">
        <f>D16*Справочник!$B$10</f>
        <v>225</v>
      </c>
      <c r="F16" s="76">
        <f t="shared" si="0"/>
        <v>975</v>
      </c>
      <c r="G16" s="83">
        <f>D16*Справочник!$B$11</f>
        <v>150</v>
      </c>
      <c r="H16" s="76">
        <f>D16*Справочник!$B$12</f>
        <v>37.5</v>
      </c>
      <c r="I16" s="89">
        <f t="shared" si="1"/>
        <v>1162.5</v>
      </c>
    </row>
    <row r="17" spans="1:9" ht="15" thickBot="1" x14ac:dyDescent="0.35">
      <c r="A17" s="62">
        <v>7</v>
      </c>
      <c r="B17" s="63" t="s">
        <v>58</v>
      </c>
      <c r="C17" s="77">
        <v>150</v>
      </c>
      <c r="D17" s="78">
        <v>4500</v>
      </c>
      <c r="E17" s="78">
        <f>D17*Справочник!$B$10</f>
        <v>1350</v>
      </c>
      <c r="F17" s="79">
        <f t="shared" si="0"/>
        <v>5850</v>
      </c>
      <c r="G17" s="84">
        <f>D17*Справочник!$B$11</f>
        <v>900</v>
      </c>
      <c r="H17" s="79">
        <f>D17*Справочник!$B$12</f>
        <v>225</v>
      </c>
      <c r="I17" s="90">
        <f t="shared" si="1"/>
        <v>6975</v>
      </c>
    </row>
    <row r="20" spans="1:9" x14ac:dyDescent="0.3">
      <c r="A20" s="49" t="s">
        <v>59</v>
      </c>
      <c r="B20" s="49"/>
      <c r="C20" s="93" t="str">
        <f>Справочник!B8</f>
        <v>Иванов С.П.</v>
      </c>
      <c r="D20" s="93"/>
      <c r="E20" s="50"/>
      <c r="F20" s="49" t="s">
        <v>60</v>
      </c>
      <c r="G20" s="49"/>
      <c r="H20" s="49"/>
      <c r="I20" s="92" t="str">
        <f>Справочник!B9</f>
        <v>Сидорова М.П.</v>
      </c>
    </row>
  </sheetData>
  <mergeCells count="10">
    <mergeCell ref="A20:B20"/>
    <mergeCell ref="C20:D20"/>
    <mergeCell ref="F20:H20"/>
    <mergeCell ref="A4:B4"/>
    <mergeCell ref="A6:I6"/>
    <mergeCell ref="A8:A9"/>
    <mergeCell ref="B8:B9"/>
    <mergeCell ref="C8:F8"/>
    <mergeCell ref="G8:H8"/>
    <mergeCell ref="I8:I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9372B-CB68-475D-8AC4-1C2C2B001C98}">
  <sheetPr codeName="Лист4"/>
  <dimension ref="A2"/>
  <sheetViews>
    <sheetView workbookViewId="0">
      <selection activeCell="N9" sqref="N9"/>
    </sheetView>
  </sheetViews>
  <sheetFormatPr defaultRowHeight="14.4" x14ac:dyDescent="0.3"/>
  <sheetData>
    <row r="2" spans="1:1" x14ac:dyDescent="0.3">
      <c r="A2" t="s">
        <v>61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BF9B-1904-4FAC-94CF-F4A10A17B0E5}">
  <sheetPr codeName="Лист5"/>
  <dimension ref="A1:H16"/>
  <sheetViews>
    <sheetView workbookViewId="0">
      <selection activeCell="H23" sqref="H23"/>
    </sheetView>
  </sheetViews>
  <sheetFormatPr defaultRowHeight="14.4" x14ac:dyDescent="0.3"/>
  <cols>
    <col min="2" max="2" width="18.6640625" customWidth="1"/>
    <col min="3" max="3" width="11.21875" customWidth="1"/>
    <col min="4" max="4" width="19.77734375" customWidth="1"/>
    <col min="5" max="5" width="16.6640625" customWidth="1"/>
    <col min="6" max="6" width="9.88671875" customWidth="1"/>
    <col min="7" max="7" width="25.21875" customWidth="1"/>
    <col min="8" max="8" width="31.6640625" customWidth="1"/>
  </cols>
  <sheetData>
    <row r="1" spans="1:8" x14ac:dyDescent="0.3">
      <c r="A1" s="50" t="s">
        <v>62</v>
      </c>
      <c r="B1" s="50" t="s">
        <v>63</v>
      </c>
      <c r="C1" s="50" t="s">
        <v>64</v>
      </c>
      <c r="D1" s="50" t="s">
        <v>18</v>
      </c>
      <c r="E1" s="50" t="s">
        <v>65</v>
      </c>
      <c r="F1" s="50" t="s">
        <v>66</v>
      </c>
      <c r="G1" s="50" t="s">
        <v>67</v>
      </c>
      <c r="H1" s="50" t="s">
        <v>68</v>
      </c>
    </row>
    <row r="2" spans="1:8" x14ac:dyDescent="0.3">
      <c r="A2">
        <v>4</v>
      </c>
      <c r="B2" t="s">
        <v>69</v>
      </c>
      <c r="C2" t="s">
        <v>79</v>
      </c>
      <c r="D2" t="s">
        <v>80</v>
      </c>
      <c r="E2" t="s">
        <v>81</v>
      </c>
      <c r="F2">
        <v>8848</v>
      </c>
      <c r="G2" t="s">
        <v>82</v>
      </c>
      <c r="H2">
        <v>1953</v>
      </c>
    </row>
    <row r="3" spans="1:8" x14ac:dyDescent="0.3">
      <c r="A3">
        <v>5</v>
      </c>
      <c r="B3" t="s">
        <v>69</v>
      </c>
      <c r="C3" t="s">
        <v>79</v>
      </c>
      <c r="D3" t="s">
        <v>83</v>
      </c>
      <c r="E3" t="s">
        <v>81</v>
      </c>
      <c r="F3">
        <v>8614</v>
      </c>
      <c r="G3" t="s">
        <v>84</v>
      </c>
      <c r="H3">
        <v>1954</v>
      </c>
    </row>
    <row r="4" spans="1:8" x14ac:dyDescent="0.3">
      <c r="A4">
        <v>6</v>
      </c>
      <c r="B4" t="s">
        <v>69</v>
      </c>
      <c r="C4" t="s">
        <v>79</v>
      </c>
      <c r="D4" t="s">
        <v>85</v>
      </c>
      <c r="E4" t="s">
        <v>81</v>
      </c>
      <c r="F4">
        <v>8516</v>
      </c>
      <c r="G4" t="s">
        <v>86</v>
      </c>
      <c r="H4">
        <v>1956</v>
      </c>
    </row>
    <row r="5" spans="1:8" x14ac:dyDescent="0.3">
      <c r="A5">
        <v>13</v>
      </c>
      <c r="B5" t="s">
        <v>104</v>
      </c>
      <c r="C5" t="s">
        <v>105</v>
      </c>
      <c r="D5" t="s">
        <v>106</v>
      </c>
      <c r="E5" t="s">
        <v>99</v>
      </c>
      <c r="F5">
        <v>6960</v>
      </c>
      <c r="G5" t="s">
        <v>107</v>
      </c>
      <c r="H5">
        <v>1897</v>
      </c>
    </row>
    <row r="6" spans="1:8" x14ac:dyDescent="0.3">
      <c r="A6">
        <v>14</v>
      </c>
      <c r="B6" t="s">
        <v>104</v>
      </c>
      <c r="C6" t="s">
        <v>105</v>
      </c>
      <c r="D6" t="s">
        <v>108</v>
      </c>
      <c r="E6" t="s">
        <v>99</v>
      </c>
      <c r="F6">
        <v>6887</v>
      </c>
      <c r="G6" t="s">
        <v>109</v>
      </c>
      <c r="H6">
        <v>1937</v>
      </c>
    </row>
    <row r="7" spans="1:8" x14ac:dyDescent="0.3">
      <c r="A7">
        <v>15</v>
      </c>
      <c r="B7" t="s">
        <v>104</v>
      </c>
      <c r="C7" t="s">
        <v>105</v>
      </c>
      <c r="D7" t="s">
        <v>110</v>
      </c>
      <c r="E7" t="s">
        <v>99</v>
      </c>
      <c r="F7">
        <v>6795</v>
      </c>
      <c r="G7" t="s">
        <v>111</v>
      </c>
      <c r="H7">
        <v>1937</v>
      </c>
    </row>
    <row r="8" spans="1:8" x14ac:dyDescent="0.3">
      <c r="A8">
        <v>10</v>
      </c>
      <c r="B8" t="s">
        <v>96</v>
      </c>
      <c r="C8" t="s">
        <v>97</v>
      </c>
      <c r="D8" t="s">
        <v>98</v>
      </c>
      <c r="E8" t="s">
        <v>99</v>
      </c>
      <c r="F8">
        <v>6190</v>
      </c>
      <c r="G8" t="s">
        <v>100</v>
      </c>
      <c r="H8">
        <v>1913</v>
      </c>
    </row>
    <row r="9" spans="1:8" x14ac:dyDescent="0.3">
      <c r="A9">
        <v>7</v>
      </c>
      <c r="B9" t="s">
        <v>87</v>
      </c>
      <c r="C9" t="s">
        <v>88</v>
      </c>
      <c r="D9" t="s">
        <v>89</v>
      </c>
      <c r="E9" t="s">
        <v>72</v>
      </c>
      <c r="F9">
        <v>5881</v>
      </c>
      <c r="G9" t="s">
        <v>90</v>
      </c>
      <c r="H9">
        <v>1889</v>
      </c>
    </row>
    <row r="10" spans="1:8" x14ac:dyDescent="0.3">
      <c r="A10">
        <v>1</v>
      </c>
      <c r="B10" t="s">
        <v>73</v>
      </c>
      <c r="C10" t="s">
        <v>70</v>
      </c>
      <c r="D10" t="s">
        <v>71</v>
      </c>
      <c r="E10" t="s">
        <v>72</v>
      </c>
      <c r="F10">
        <v>5642</v>
      </c>
      <c r="G10" t="s">
        <v>74</v>
      </c>
      <c r="H10">
        <v>1829</v>
      </c>
    </row>
    <row r="11" spans="1:8" x14ac:dyDescent="0.3">
      <c r="A11">
        <v>11</v>
      </c>
      <c r="B11" t="s">
        <v>96</v>
      </c>
      <c r="C11" t="s">
        <v>97</v>
      </c>
      <c r="D11" t="s">
        <v>101</v>
      </c>
      <c r="E11" t="s">
        <v>72</v>
      </c>
      <c r="F11">
        <v>5489</v>
      </c>
      <c r="G11" t="s">
        <v>95</v>
      </c>
      <c r="H11">
        <v>1897</v>
      </c>
    </row>
    <row r="12" spans="1:8" x14ac:dyDescent="0.3">
      <c r="A12">
        <v>12</v>
      </c>
      <c r="B12" t="s">
        <v>96</v>
      </c>
      <c r="C12" t="s">
        <v>97</v>
      </c>
      <c r="D12" t="s">
        <v>102</v>
      </c>
      <c r="E12" t="s">
        <v>72</v>
      </c>
      <c r="F12">
        <v>5303</v>
      </c>
      <c r="G12" t="s">
        <v>103</v>
      </c>
      <c r="H12">
        <v>1934</v>
      </c>
    </row>
    <row r="13" spans="1:8" x14ac:dyDescent="0.3">
      <c r="A13">
        <v>2</v>
      </c>
      <c r="B13" t="s">
        <v>73</v>
      </c>
      <c r="C13" t="s">
        <v>70</v>
      </c>
      <c r="D13" t="s">
        <v>75</v>
      </c>
      <c r="E13" t="s">
        <v>72</v>
      </c>
      <c r="F13">
        <v>5204</v>
      </c>
      <c r="G13" t="s">
        <v>76</v>
      </c>
      <c r="H13">
        <v>1888</v>
      </c>
    </row>
    <row r="14" spans="1:8" x14ac:dyDescent="0.3">
      <c r="A14">
        <v>8</v>
      </c>
      <c r="B14" t="s">
        <v>87</v>
      </c>
      <c r="C14" t="s">
        <v>91</v>
      </c>
      <c r="D14" t="s">
        <v>91</v>
      </c>
      <c r="E14" t="s">
        <v>72</v>
      </c>
      <c r="F14">
        <v>5199</v>
      </c>
      <c r="G14" t="s">
        <v>92</v>
      </c>
      <c r="H14">
        <v>5199</v>
      </c>
    </row>
    <row r="15" spans="1:8" x14ac:dyDescent="0.3">
      <c r="A15">
        <v>3</v>
      </c>
      <c r="B15" t="s">
        <v>73</v>
      </c>
      <c r="C15" t="s">
        <v>70</v>
      </c>
      <c r="D15" t="s">
        <v>77</v>
      </c>
      <c r="E15" t="s">
        <v>72</v>
      </c>
      <c r="F15">
        <v>5193</v>
      </c>
      <c r="G15" t="s">
        <v>78</v>
      </c>
      <c r="H15">
        <v>1888</v>
      </c>
    </row>
    <row r="16" spans="1:8" x14ac:dyDescent="0.3">
      <c r="A16">
        <v>9</v>
      </c>
      <c r="B16" t="s">
        <v>87</v>
      </c>
      <c r="C16" t="s">
        <v>93</v>
      </c>
      <c r="D16" t="s">
        <v>94</v>
      </c>
      <c r="E16" t="s">
        <v>72</v>
      </c>
      <c r="F16">
        <v>5109</v>
      </c>
      <c r="G16" t="s">
        <v>95</v>
      </c>
      <c r="H16">
        <v>1906</v>
      </c>
    </row>
  </sheetData>
  <autoFilter ref="A1:H16" xr:uid="{B892CEDA-98E2-4733-A454-49E9A87B2C1A}">
    <sortState xmlns:xlrd2="http://schemas.microsoft.com/office/spreadsheetml/2017/richdata2" ref="A2:H16">
      <sortCondition descending="1" ref="F1:F16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53347-BB16-4482-AAAF-5FD2E5EA2336}">
  <sheetPr codeName="Лист6"/>
  <dimension ref="A1:D17"/>
  <sheetViews>
    <sheetView workbookViewId="0">
      <selection activeCell="H8" sqref="H8"/>
    </sheetView>
  </sheetViews>
  <sheetFormatPr defaultRowHeight="14.4" x14ac:dyDescent="0.3"/>
  <cols>
    <col min="1" max="1" width="23.44140625" customWidth="1"/>
    <col min="2" max="2" width="14" customWidth="1"/>
    <col min="3" max="3" width="14.109375" customWidth="1"/>
  </cols>
  <sheetData>
    <row r="1" spans="1:4" x14ac:dyDescent="0.3">
      <c r="A1" t="s">
        <v>112</v>
      </c>
    </row>
    <row r="2" spans="1:4" x14ac:dyDescent="0.3">
      <c r="A2" s="100" t="s">
        <v>113</v>
      </c>
      <c r="B2" s="100" t="s">
        <v>114</v>
      </c>
      <c r="C2" s="100" t="s">
        <v>115</v>
      </c>
    </row>
    <row r="3" spans="1:4" x14ac:dyDescent="0.3">
      <c r="A3" s="95" t="s">
        <v>116</v>
      </c>
      <c r="B3" s="95">
        <v>5</v>
      </c>
      <c r="C3" s="101">
        <f>VLOOKUP(A3,ВПР2!$A$2:$B$13,2)*B3</f>
        <v>150</v>
      </c>
    </row>
    <row r="4" spans="1:4" x14ac:dyDescent="0.3">
      <c r="A4" s="95" t="s">
        <v>117</v>
      </c>
      <c r="B4" s="95">
        <v>10</v>
      </c>
      <c r="C4" s="102" t="s">
        <v>134</v>
      </c>
    </row>
    <row r="5" spans="1:4" x14ac:dyDescent="0.3">
      <c r="A5" s="95" t="s">
        <v>118</v>
      </c>
      <c r="B5" s="95">
        <v>3</v>
      </c>
      <c r="C5" s="101">
        <f>VLOOKUP(A5,ВПР2!$A$2:$B$13,2)*B5</f>
        <v>900</v>
      </c>
    </row>
    <row r="6" spans="1:4" x14ac:dyDescent="0.3">
      <c r="A6" s="95" t="s">
        <v>119</v>
      </c>
      <c r="B6" s="95">
        <v>23</v>
      </c>
      <c r="C6" s="101">
        <f>VLOOKUP(A6,ВПР2!$A$2:$B$13,2)*B6</f>
        <v>345</v>
      </c>
    </row>
    <row r="7" spans="1:4" x14ac:dyDescent="0.3">
      <c r="A7" s="95" t="s">
        <v>120</v>
      </c>
      <c r="B7" s="95">
        <v>6</v>
      </c>
      <c r="C7" s="101">
        <f>VLOOKUP(A7,ВПР2!$A$2:$B$13,2)*B7</f>
        <v>150</v>
      </c>
    </row>
    <row r="8" spans="1:4" x14ac:dyDescent="0.3">
      <c r="A8" s="95" t="s">
        <v>121</v>
      </c>
      <c r="B8" s="95">
        <v>11</v>
      </c>
      <c r="C8" s="101">
        <f>VLOOKUP(A8,ВПР2!$A$2:$B$13,2)*B8</f>
        <v>880</v>
      </c>
    </row>
    <row r="9" spans="1:4" x14ac:dyDescent="0.3">
      <c r="A9" s="95" t="s">
        <v>122</v>
      </c>
      <c r="B9" s="95">
        <v>11</v>
      </c>
      <c r="C9" s="101">
        <f>VLOOKUP(A9,ВПР2!$A$2:$B$13,2)*B9</f>
        <v>1045</v>
      </c>
    </row>
    <row r="10" spans="1:4" x14ac:dyDescent="0.3">
      <c r="A10" s="95" t="s">
        <v>123</v>
      </c>
      <c r="B10" s="95">
        <v>9</v>
      </c>
      <c r="C10" s="102" t="s">
        <v>134</v>
      </c>
    </row>
    <row r="11" spans="1:4" x14ac:dyDescent="0.3">
      <c r="A11" s="95" t="s">
        <v>124</v>
      </c>
      <c r="B11" s="95">
        <v>7</v>
      </c>
      <c r="C11" s="101">
        <f>VLOOKUP(A11,ВПР2!$A$2:$B$13,2)*B11</f>
        <v>157.5</v>
      </c>
    </row>
    <row r="12" spans="1:4" x14ac:dyDescent="0.3">
      <c r="A12" s="95" t="s">
        <v>125</v>
      </c>
      <c r="B12" s="95">
        <v>2</v>
      </c>
      <c r="C12" s="101">
        <f>VLOOKUP(A12,ВПР2!$A$2:$B$13,2)*B12</f>
        <v>800</v>
      </c>
    </row>
    <row r="13" spans="1:4" x14ac:dyDescent="0.3">
      <c r="A13" s="95" t="s">
        <v>126</v>
      </c>
      <c r="B13" s="96">
        <v>6.5</v>
      </c>
      <c r="C13" s="101">
        <f>VLOOKUP(A13,ВПР2!$A$2:$B$13,2)*B13</f>
        <v>2210</v>
      </c>
    </row>
    <row r="14" spans="1:4" x14ac:dyDescent="0.3">
      <c r="A14" s="95" t="s">
        <v>127</v>
      </c>
      <c r="B14" s="95">
        <v>1</v>
      </c>
      <c r="C14" s="101">
        <f>VLOOKUP(A14,ВПР2!$A$2:$B$13,2)*B14</f>
        <v>515</v>
      </c>
    </row>
    <row r="15" spans="1:4" x14ac:dyDescent="0.3">
      <c r="A15" s="95" t="s">
        <v>128</v>
      </c>
      <c r="B15" s="95">
        <v>0.5</v>
      </c>
      <c r="C15" s="102" t="s">
        <v>134</v>
      </c>
      <c r="D15" t="s">
        <v>135</v>
      </c>
    </row>
    <row r="16" spans="1:4" x14ac:dyDescent="0.3">
      <c r="A16" s="95" t="s">
        <v>129</v>
      </c>
      <c r="B16" s="95">
        <v>0.5</v>
      </c>
      <c r="C16" s="101">
        <f>VLOOKUP(A16,ВПР2!$A$2:$B$13,2)*B16</f>
        <v>400</v>
      </c>
    </row>
    <row r="17" spans="2:3" x14ac:dyDescent="0.3">
      <c r="B17" s="97" t="s">
        <v>130</v>
      </c>
      <c r="C17" s="9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761A6-F0D0-417D-8B8C-0806FA4EBD25}">
  <sheetPr codeName="Лист8"/>
  <dimension ref="A1:B13"/>
  <sheetViews>
    <sheetView workbookViewId="0">
      <selection activeCell="E6" sqref="E6"/>
    </sheetView>
  </sheetViews>
  <sheetFormatPr defaultRowHeight="14.4" x14ac:dyDescent="0.3"/>
  <cols>
    <col min="1" max="1" width="31" customWidth="1"/>
    <col min="2" max="2" width="13" customWidth="1"/>
  </cols>
  <sheetData>
    <row r="1" spans="1:2" x14ac:dyDescent="0.3">
      <c r="A1" s="100" t="s">
        <v>131</v>
      </c>
      <c r="B1" s="100" t="s">
        <v>132</v>
      </c>
    </row>
    <row r="2" spans="1:2" x14ac:dyDescent="0.3">
      <c r="A2" s="95" t="s">
        <v>116</v>
      </c>
      <c r="B2" s="96">
        <v>30</v>
      </c>
    </row>
    <row r="3" spans="1:2" x14ac:dyDescent="0.3">
      <c r="A3" s="99" t="s">
        <v>125</v>
      </c>
      <c r="B3" s="96">
        <v>400</v>
      </c>
    </row>
    <row r="4" spans="1:2" x14ac:dyDescent="0.3">
      <c r="A4" s="95" t="s">
        <v>118</v>
      </c>
      <c r="B4" s="96">
        <v>300</v>
      </c>
    </row>
    <row r="5" spans="1:2" x14ac:dyDescent="0.3">
      <c r="A5" s="95" t="s">
        <v>127</v>
      </c>
      <c r="B5" s="96">
        <v>515</v>
      </c>
    </row>
    <row r="6" spans="1:2" x14ac:dyDescent="0.3">
      <c r="A6" s="95" t="s">
        <v>124</v>
      </c>
      <c r="B6" s="96">
        <v>22.5</v>
      </c>
    </row>
    <row r="7" spans="1:2" x14ac:dyDescent="0.3">
      <c r="A7" s="95" t="s">
        <v>119</v>
      </c>
      <c r="B7" s="96">
        <v>15</v>
      </c>
    </row>
    <row r="8" spans="1:2" x14ac:dyDescent="0.3">
      <c r="A8" s="95" t="s">
        <v>120</v>
      </c>
      <c r="B8" s="96">
        <v>25</v>
      </c>
    </row>
    <row r="9" spans="1:2" x14ac:dyDescent="0.3">
      <c r="A9" s="95" t="s">
        <v>122</v>
      </c>
      <c r="B9" s="96">
        <v>95</v>
      </c>
    </row>
    <row r="10" spans="1:2" x14ac:dyDescent="0.3">
      <c r="A10" s="95" t="s">
        <v>129</v>
      </c>
      <c r="B10" s="96">
        <v>800</v>
      </c>
    </row>
    <row r="11" spans="1:2" x14ac:dyDescent="0.3">
      <c r="A11" s="95" t="s">
        <v>121</v>
      </c>
      <c r="B11" s="96">
        <v>80</v>
      </c>
    </row>
    <row r="12" spans="1:2" x14ac:dyDescent="0.3">
      <c r="A12" s="95" t="s">
        <v>133</v>
      </c>
      <c r="B12" s="96">
        <v>45</v>
      </c>
    </row>
    <row r="13" spans="1:2" x14ac:dyDescent="0.3">
      <c r="A13" s="95" t="s">
        <v>126</v>
      </c>
      <c r="B13" s="96">
        <v>340</v>
      </c>
    </row>
  </sheetData>
  <autoFilter ref="A1:B13" xr:uid="{6FF36C0E-F516-4825-9E22-FAF6B36D3B8F}">
    <sortState xmlns:xlrd2="http://schemas.microsoft.com/office/spreadsheetml/2017/richdata2" ref="A2:B13">
      <sortCondition ref="A1:A13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AAA4-DCC3-4A7E-936E-1ACF21B8D047}">
  <sheetPr codeName="Лист7"/>
  <dimension ref="A1:E10"/>
  <sheetViews>
    <sheetView workbookViewId="0">
      <selection activeCell="J15" sqref="J15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1" t="s">
        <v>136</v>
      </c>
      <c r="B1" s="91"/>
      <c r="C1" s="91"/>
      <c r="D1" s="91"/>
      <c r="E1" s="91"/>
    </row>
    <row r="3" spans="1:5" x14ac:dyDescent="0.3">
      <c r="A3" s="1" t="s">
        <v>137</v>
      </c>
      <c r="B3" s="1"/>
      <c r="C3" s="1"/>
      <c r="D3" s="37">
        <v>43743</v>
      </c>
    </row>
    <row r="5" spans="1:5" x14ac:dyDescent="0.3">
      <c r="A5" s="103" t="s">
        <v>138</v>
      </c>
      <c r="B5" s="103"/>
      <c r="C5" s="104">
        <v>1</v>
      </c>
    </row>
    <row r="6" spans="1:5" x14ac:dyDescent="0.3">
      <c r="A6" s="51" t="s">
        <v>139</v>
      </c>
      <c r="B6" s="51" t="s">
        <v>140</v>
      </c>
      <c r="C6" s="51" t="s">
        <v>141</v>
      </c>
      <c r="D6" s="51" t="s">
        <v>142</v>
      </c>
      <c r="E6" s="51" t="s">
        <v>143</v>
      </c>
    </row>
    <row r="7" spans="1:5" x14ac:dyDescent="0.3">
      <c r="A7" s="105">
        <v>43743</v>
      </c>
      <c r="B7" s="106">
        <v>0.41666666666666669</v>
      </c>
      <c r="C7" s="95" t="s">
        <v>144</v>
      </c>
      <c r="D7" s="95" t="s">
        <v>145</v>
      </c>
      <c r="E7" s="95"/>
    </row>
    <row r="8" spans="1:5" x14ac:dyDescent="0.3">
      <c r="A8" s="105">
        <v>43743</v>
      </c>
      <c r="B8" s="106">
        <v>0.5</v>
      </c>
      <c r="C8" s="95" t="s">
        <v>146</v>
      </c>
      <c r="D8" s="95" t="s">
        <v>147</v>
      </c>
      <c r="E8" s="95"/>
    </row>
    <row r="9" spans="1:5" x14ac:dyDescent="0.3">
      <c r="A9" s="105">
        <v>43744</v>
      </c>
      <c r="B9" s="106">
        <v>0.41666666666666669</v>
      </c>
      <c r="C9" s="95" t="s">
        <v>148</v>
      </c>
      <c r="D9" s="95" t="s">
        <v>149</v>
      </c>
      <c r="E9" s="95"/>
    </row>
    <row r="10" spans="1:5" x14ac:dyDescent="0.3">
      <c r="A10" s="105">
        <v>43744</v>
      </c>
      <c r="B10" s="106">
        <v>0.5</v>
      </c>
      <c r="C10" s="95" t="s">
        <v>150</v>
      </c>
      <c r="D10" s="95" t="s">
        <v>151</v>
      </c>
      <c r="E10" s="95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0AC5-3754-4EE1-A3C9-E30208208213}">
  <sheetPr codeName="Лист9"/>
  <dimension ref="A1:E10"/>
  <sheetViews>
    <sheetView workbookViewId="0">
      <selection activeCell="G12" sqref="G12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1" t="s">
        <v>152</v>
      </c>
      <c r="B1" s="91"/>
      <c r="C1" s="91"/>
      <c r="D1" s="91"/>
      <c r="E1" s="91"/>
    </row>
    <row r="3" spans="1:5" x14ac:dyDescent="0.3">
      <c r="A3" s="1" t="s">
        <v>137</v>
      </c>
      <c r="B3" s="1"/>
      <c r="C3" s="1"/>
      <c r="D3" s="37">
        <v>43743</v>
      </c>
    </row>
    <row r="5" spans="1:5" x14ac:dyDescent="0.3">
      <c r="A5" s="103" t="s">
        <v>138</v>
      </c>
      <c r="B5" s="103"/>
      <c r="C5" s="104">
        <v>2</v>
      </c>
    </row>
    <row r="6" spans="1:5" x14ac:dyDescent="0.3">
      <c r="A6" s="51" t="s">
        <v>139</v>
      </c>
      <c r="B6" s="51" t="s">
        <v>140</v>
      </c>
      <c r="C6" s="51" t="s">
        <v>141</v>
      </c>
      <c r="D6" s="51" t="s">
        <v>142</v>
      </c>
      <c r="E6" s="51" t="s">
        <v>143</v>
      </c>
    </row>
    <row r="7" spans="1:5" x14ac:dyDescent="0.3">
      <c r="A7" s="105">
        <v>43750</v>
      </c>
      <c r="B7" s="106">
        <v>0.41666666666666669</v>
      </c>
      <c r="C7" s="95" t="s">
        <v>144</v>
      </c>
      <c r="D7" s="95" t="s">
        <v>147</v>
      </c>
      <c r="E7" s="95"/>
    </row>
    <row r="8" spans="1:5" x14ac:dyDescent="0.3">
      <c r="A8" s="105">
        <v>43750</v>
      </c>
      <c r="B8" s="106">
        <v>0.5</v>
      </c>
      <c r="C8" s="95" t="s">
        <v>146</v>
      </c>
      <c r="D8" s="95" t="s">
        <v>149</v>
      </c>
      <c r="E8" s="95"/>
    </row>
    <row r="9" spans="1:5" x14ac:dyDescent="0.3">
      <c r="A9" s="105">
        <v>43751</v>
      </c>
      <c r="B9" s="106">
        <v>0.41666666666666669</v>
      </c>
      <c r="C9" s="95" t="s">
        <v>148</v>
      </c>
      <c r="D9" s="95" t="s">
        <v>151</v>
      </c>
      <c r="E9" s="95"/>
    </row>
    <row r="10" spans="1:5" x14ac:dyDescent="0.3">
      <c r="A10" s="105">
        <v>43751</v>
      </c>
      <c r="B10" s="106">
        <v>0.5</v>
      </c>
      <c r="C10" s="95" t="s">
        <v>150</v>
      </c>
      <c r="D10" s="95" t="s">
        <v>145</v>
      </c>
      <c r="E10" s="95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05737-CD8E-410C-8BD3-15A2E950711C}">
  <sheetPr codeName="Лист10"/>
  <dimension ref="A1:E10"/>
  <sheetViews>
    <sheetView workbookViewId="0">
      <selection activeCell="C5" sqref="C5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1" t="s">
        <v>153</v>
      </c>
      <c r="B1" s="91"/>
      <c r="C1" s="91"/>
      <c r="D1" s="91"/>
      <c r="E1" s="91"/>
    </row>
    <row r="3" spans="1:5" x14ac:dyDescent="0.3">
      <c r="A3" s="1" t="s">
        <v>137</v>
      </c>
      <c r="B3" s="1"/>
      <c r="C3" s="1"/>
      <c r="D3" s="37">
        <v>43743</v>
      </c>
    </row>
    <row r="5" spans="1:5" x14ac:dyDescent="0.3">
      <c r="A5" s="103" t="s">
        <v>138</v>
      </c>
      <c r="B5" s="103"/>
      <c r="C5" s="104">
        <v>3</v>
      </c>
    </row>
    <row r="6" spans="1:5" x14ac:dyDescent="0.3">
      <c r="A6" s="51" t="s">
        <v>139</v>
      </c>
      <c r="B6" s="51" t="s">
        <v>140</v>
      </c>
      <c r="C6" s="51" t="s">
        <v>141</v>
      </c>
      <c r="D6" s="51" t="s">
        <v>142</v>
      </c>
      <c r="E6" s="51" t="s">
        <v>143</v>
      </c>
    </row>
    <row r="7" spans="1:5" x14ac:dyDescent="0.3">
      <c r="A7" s="105">
        <v>43757</v>
      </c>
      <c r="B7" s="106">
        <v>0.41666666666666669</v>
      </c>
      <c r="C7" s="95" t="s">
        <v>144</v>
      </c>
      <c r="D7" s="95" t="s">
        <v>149</v>
      </c>
      <c r="E7" s="95"/>
    </row>
    <row r="8" spans="1:5" x14ac:dyDescent="0.3">
      <c r="A8" s="105">
        <v>43757</v>
      </c>
      <c r="B8" s="106">
        <v>0.5</v>
      </c>
      <c r="C8" s="95" t="s">
        <v>146</v>
      </c>
      <c r="D8" s="95" t="s">
        <v>151</v>
      </c>
      <c r="E8" s="95"/>
    </row>
    <row r="9" spans="1:5" x14ac:dyDescent="0.3">
      <c r="A9" s="105">
        <v>43758</v>
      </c>
      <c r="B9" s="106">
        <v>0.41666666666666669</v>
      </c>
      <c r="C9" s="95" t="s">
        <v>148</v>
      </c>
      <c r="D9" s="95" t="s">
        <v>145</v>
      </c>
      <c r="E9" s="95"/>
    </row>
    <row r="10" spans="1:5" x14ac:dyDescent="0.3">
      <c r="A10" s="105">
        <v>43758</v>
      </c>
      <c r="B10" s="106">
        <v>0.5</v>
      </c>
      <c r="C10" s="95" t="s">
        <v>150</v>
      </c>
      <c r="D10" s="95" t="s">
        <v>147</v>
      </c>
      <c r="E10" s="95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9CA0F-5583-4B1D-B502-31CADCFF3C9F}">
  <sheetPr codeName="Лист11"/>
  <dimension ref="A1:E10"/>
  <sheetViews>
    <sheetView workbookViewId="0">
      <selection activeCell="C6" sqref="C6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1" t="s">
        <v>154</v>
      </c>
      <c r="B1" s="91"/>
      <c r="C1" s="91"/>
      <c r="D1" s="91"/>
      <c r="E1" s="91"/>
    </row>
    <row r="3" spans="1:5" x14ac:dyDescent="0.3">
      <c r="A3" s="1" t="s">
        <v>137</v>
      </c>
      <c r="B3" s="1"/>
      <c r="C3" s="1"/>
      <c r="D3" s="37">
        <v>43743</v>
      </c>
    </row>
    <row r="5" spans="1:5" x14ac:dyDescent="0.3">
      <c r="A5" s="103" t="s">
        <v>138</v>
      </c>
      <c r="B5" s="103"/>
      <c r="C5" s="104">
        <v>4</v>
      </c>
    </row>
    <row r="6" spans="1:5" x14ac:dyDescent="0.3">
      <c r="A6" s="51" t="s">
        <v>139</v>
      </c>
      <c r="B6" s="51" t="s">
        <v>140</v>
      </c>
      <c r="C6" s="51" t="s">
        <v>141</v>
      </c>
      <c r="D6" s="51" t="s">
        <v>142</v>
      </c>
      <c r="E6" s="51" t="s">
        <v>143</v>
      </c>
    </row>
    <row r="7" spans="1:5" x14ac:dyDescent="0.3">
      <c r="A7" s="105">
        <v>43764</v>
      </c>
      <c r="B7" s="106">
        <v>0.41666666666666669</v>
      </c>
      <c r="C7" s="95" t="s">
        <v>144</v>
      </c>
      <c r="D7" s="95" t="s">
        <v>151</v>
      </c>
      <c r="E7" s="95"/>
    </row>
    <row r="8" spans="1:5" x14ac:dyDescent="0.3">
      <c r="A8" s="105">
        <v>43764</v>
      </c>
      <c r="B8" s="106">
        <v>0.5</v>
      </c>
      <c r="C8" s="95" t="s">
        <v>146</v>
      </c>
      <c r="D8" s="95" t="s">
        <v>145</v>
      </c>
      <c r="E8" s="95"/>
    </row>
    <row r="9" spans="1:5" x14ac:dyDescent="0.3">
      <c r="A9" s="105">
        <v>43765</v>
      </c>
      <c r="B9" s="106">
        <v>0.41666666666666669</v>
      </c>
      <c r="C9" s="95" t="s">
        <v>148</v>
      </c>
      <c r="D9" s="95" t="s">
        <v>147</v>
      </c>
      <c r="E9" s="95"/>
    </row>
    <row r="10" spans="1:5" x14ac:dyDescent="0.3">
      <c r="A10" s="105">
        <v>43765</v>
      </c>
      <c r="B10" s="106">
        <v>0.5</v>
      </c>
      <c r="C10" s="95" t="s">
        <v>150</v>
      </c>
      <c r="D10" s="95" t="s">
        <v>149</v>
      </c>
      <c r="E10" s="95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F413C-301B-4D78-B118-EBD1DF1BBDEF}">
  <sheetPr codeName="Лист12"/>
  <dimension ref="A1:E10"/>
  <sheetViews>
    <sheetView tabSelected="1" workbookViewId="0">
      <selection activeCell="H15" sqref="H15"/>
    </sheetView>
  </sheetViews>
  <sheetFormatPr defaultRowHeight="14.4" x14ac:dyDescent="0.3"/>
  <cols>
    <col min="1" max="1" width="10.109375" bestFit="1" customWidth="1"/>
    <col min="3" max="3" width="12.44140625" customWidth="1"/>
    <col min="4" max="4" width="12.77734375" customWidth="1"/>
  </cols>
  <sheetData>
    <row r="1" spans="1:5" x14ac:dyDescent="0.3">
      <c r="A1" s="91" t="s">
        <v>155</v>
      </c>
      <c r="B1" s="91"/>
      <c r="C1" s="91"/>
      <c r="D1" s="91"/>
      <c r="E1" s="91"/>
    </row>
    <row r="3" spans="1:5" x14ac:dyDescent="0.3">
      <c r="A3" s="1" t="s">
        <v>137</v>
      </c>
      <c r="B3" s="1"/>
      <c r="C3" s="1"/>
      <c r="D3" s="37">
        <v>43743</v>
      </c>
    </row>
    <row r="5" spans="1:5" x14ac:dyDescent="0.3">
      <c r="A5" s="103" t="s">
        <v>138</v>
      </c>
      <c r="B5" s="103"/>
      <c r="C5" s="104">
        <v>5</v>
      </c>
    </row>
    <row r="6" spans="1:5" x14ac:dyDescent="0.3">
      <c r="A6" s="51" t="s">
        <v>139</v>
      </c>
      <c r="B6" s="51" t="s">
        <v>140</v>
      </c>
      <c r="C6" s="51" t="s">
        <v>141</v>
      </c>
      <c r="D6" s="51" t="s">
        <v>142</v>
      </c>
      <c r="E6" s="51" t="s">
        <v>143</v>
      </c>
    </row>
    <row r="7" spans="1:5" x14ac:dyDescent="0.3">
      <c r="A7" s="105">
        <v>43771</v>
      </c>
      <c r="B7" s="106">
        <v>0.41666666666666669</v>
      </c>
      <c r="C7" s="95" t="s">
        <v>144</v>
      </c>
      <c r="D7" s="95" t="s">
        <v>146</v>
      </c>
      <c r="E7" s="95"/>
    </row>
    <row r="8" spans="1:5" x14ac:dyDescent="0.3">
      <c r="A8" s="105">
        <v>43771</v>
      </c>
      <c r="B8" s="106">
        <v>0.5</v>
      </c>
      <c r="C8" s="95" t="s">
        <v>146</v>
      </c>
      <c r="D8" s="95" t="s">
        <v>148</v>
      </c>
      <c r="E8" s="95"/>
    </row>
    <row r="9" spans="1:5" x14ac:dyDescent="0.3">
      <c r="A9" s="105">
        <v>43772</v>
      </c>
      <c r="B9" s="106">
        <v>0.41666666666666669</v>
      </c>
      <c r="C9" s="95" t="s">
        <v>148</v>
      </c>
      <c r="D9" s="95" t="s">
        <v>150</v>
      </c>
      <c r="E9" s="95"/>
    </row>
    <row r="10" spans="1:5" x14ac:dyDescent="0.3">
      <c r="A10" s="105">
        <v>43772</v>
      </c>
      <c r="B10" s="106">
        <v>0.5</v>
      </c>
      <c r="C10" s="95" t="s">
        <v>150</v>
      </c>
      <c r="D10" s="95" t="s">
        <v>145</v>
      </c>
      <c r="E10" s="95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Sheet1</vt:lpstr>
      <vt:lpstr>Справочник</vt:lpstr>
      <vt:lpstr>Расчет стоимости товара</vt:lpstr>
      <vt:lpstr>Диаграмма</vt:lpstr>
      <vt:lpstr>Фильры</vt:lpstr>
      <vt:lpstr>ВПР1</vt:lpstr>
      <vt:lpstr>ВПР2</vt:lpstr>
      <vt:lpstr>Тур1</vt:lpstr>
      <vt:lpstr>Тур2</vt:lpstr>
      <vt:lpstr>Тур3</vt:lpstr>
      <vt:lpstr>Тур4</vt:lpstr>
      <vt:lpstr>Тур4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2015-06-05T18:17:20Z</dcterms:created>
  <dcterms:modified xsi:type="dcterms:W3CDTF">2019-11-12T21:49:29Z</dcterms:modified>
</cp:coreProperties>
</file>